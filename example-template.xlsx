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23520" activeTab="1"/>
  </bookViews>
  <sheets>
    <sheet sheetId="1" name="OvertimeReport" state="visible" r:id="rId4"/>
    <sheet sheetId="3" name="KHOA CNTT" state="visible" r:id="rId5"/>
    <sheet sheetId="4" name="KHOA MẬT MÃ" state="visible" r:id="rId6"/>
  </sheets>
  <calcPr calcId="171027"/>
</workbook>
</file>

<file path=xl/sharedStrings.xml><?xml version="1.0" encoding="utf-8"?>
<sst xmlns="http://schemas.openxmlformats.org/spreadsheetml/2006/main" count="156" uniqueCount="37">
  <si>
    <t>DANH SÁCH GIẢNG VIÊN VƯỢT GIỜ NĂM 2024 - 2025</t>
  </si>
  <si>
    <t>TỔNG HỢP TẤT CẢ CÁC KHOA</t>
  </si>
  <si>
    <t>STT</t>
  </si>
  <si>
    <t>Họ tên Giảng viên</t>
  </si>
  <si>
    <t>Thu nhập (lương thực nhận, không tính phụ cấp học hàm, học vị)</t>
  </si>
  <si>
    <t>Định mức giờ giảng</t>
  </si>
  <si>
    <t xml:space="preserve">Được
 giảm</t>
  </si>
  <si>
    <t>Số tiết chưa hoàn thành NCKH</t>
  </si>
  <si>
    <t>Định mức phải giảng</t>
  </si>
  <si>
    <t>Thực tế giảng dạy</t>
  </si>
  <si>
    <t>Số tiết vượt định mức</t>
  </si>
  <si>
    <t>Mức TT chuẩn</t>
  </si>
  <si>
    <t>Thành tiền</t>
  </si>
  <si>
    <t>Thực nhận</t>
  </si>
  <si>
    <t>Ký nhận</t>
  </si>
  <si>
    <t>Học kỳ I</t>
  </si>
  <si>
    <t>Học kỳ II</t>
  </si>
  <si>
    <t>Cả năm</t>
  </si>
  <si>
    <t>VN</t>
  </si>
  <si>
    <t>Lào</t>
  </si>
  <si>
    <t>Cuba</t>
  </si>
  <si>
    <t>CPC</t>
  </si>
  <si>
    <t>Đóng HP</t>
  </si>
  <si>
    <t>Tổng</t>
  </si>
  <si>
    <t>Tổng T.Toán</t>
  </si>
  <si>
    <t>Tổng cộng</t>
  </si>
  <si>
    <t>Tổng cộng toàn bộ</t>
  </si>
  <si>
    <t>Bằng chữ: Một trăm sáu mươi tám triệu một trăm năm mươi nghìn đồng</t>
  </si>
  <si>
    <t>KHOA CÔNG NGHỆ THÔNG TIN</t>
  </si>
  <si>
    <t>I</t>
  </si>
  <si>
    <t>KHOA CNTT</t>
  </si>
  <si>
    <t>Phạm Văn Hưởng</t>
  </si>
  <si>
    <t/>
  </si>
  <si>
    <t>Nguyễn Văn Phác</t>
  </si>
  <si>
    <t>KHOA MẬT MÃ</t>
  </si>
  <si>
    <t>II</t>
  </si>
  <si>
    <t>Bùi Thu Lâm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</si>
</sst>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(#,##0);_(* &quot;-&quot;??_);_(@_)"/>
  </numFmts>
  <fonts count="9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charset val="163"/>
      <color theme="1"/>
      <family val="1"/>
      <sz val="14"/>
      <name val="Times New Roman"/>
    </font>
    <font>
      <b/>
      <charset val="163"/>
      <color theme="1"/>
      <family val="1"/>
      <sz val="8"/>
      <name val="Times New Roman"/>
    </font>
    <font>
      <color theme="1"/>
      <family val="2"/>
      <scheme val="minor"/>
      <sz val="11"/>
      <name val="Aptos Narrow"/>
    </font>
    <font>
      <b/>
      <color theme="1"/>
      <family val="1"/>
      <sz val="9"/>
      <name val="Times New Roman"/>
    </font>
    <font>
      <color theme="1"/>
      <family val="1"/>
      <sz val="9"/>
      <name val="Times New Roman"/>
    </font>
    <font>
      <i/>
      <color theme="1"/>
      <family val="1"/>
      <sz val="9"/>
      <name val="Times New Roman"/>
    </font>
    <font>
      <i/>
      <color theme="1"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"/>
  <sheetViews>
    <sheetView workbookViewId="0" zoomScale="100" zoomScaleNormal="100">
      <selection activeCell="K17" sqref="K17"/>
    </sheetView>
  </sheetViews>
  <sheetFormatPr defaultRowHeight="15" outlineLevelRow="0" outlineLevelCol="0" x14ac:dyDescent="0.25"/>
  <cols>
    <col min="2" max="2" width="18.28515625" customWidth="1"/>
    <col min="3" max="3" width="13.85546875" customWidth="1"/>
  </cols>
  <sheetData>
    <row r="1" ht="18.75" customHeight="1" spans="1:3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8.75" customHeight="1" spans="1:3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4" spans="1:3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 t="s">
        <v>10</v>
      </c>
      <c r="X4" s="4"/>
      <c r="Y4" s="4"/>
      <c r="Z4" s="4"/>
      <c r="AA4" s="4"/>
      <c r="AB4" s="4"/>
      <c r="AC4" s="4"/>
      <c r="AD4" s="3" t="s">
        <v>11</v>
      </c>
      <c r="AE4" s="4" t="s">
        <v>12</v>
      </c>
      <c r="AF4" s="4"/>
      <c r="AG4" s="4"/>
      <c r="AH4" s="4"/>
      <c r="AI4" s="4"/>
      <c r="AJ4" s="4"/>
      <c r="AK4" s="4" t="s">
        <v>13</v>
      </c>
      <c r="AL4" s="4" t="s">
        <v>14</v>
      </c>
    </row>
    <row r="5" spans="1:38" x14ac:dyDescent="0.25">
      <c r="A5" s="3"/>
      <c r="B5" s="3"/>
      <c r="C5" s="3"/>
      <c r="D5" s="3"/>
      <c r="E5" s="3"/>
      <c r="F5" s="3"/>
      <c r="G5" s="3"/>
      <c r="H5" s="4" t="s">
        <v>15</v>
      </c>
      <c r="I5" s="4"/>
      <c r="J5" s="4"/>
      <c r="K5" s="4"/>
      <c r="L5" s="4" t="s">
        <v>16</v>
      </c>
      <c r="M5" s="4"/>
      <c r="N5" s="4"/>
      <c r="O5" s="4"/>
      <c r="P5" s="4"/>
      <c r="Q5" s="4" t="s">
        <v>17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3"/>
      <c r="AE5" s="4"/>
      <c r="AF5" s="4"/>
      <c r="AG5" s="4"/>
      <c r="AH5" s="4"/>
      <c r="AI5" s="4"/>
      <c r="AJ5" s="4"/>
      <c r="AK5" s="4"/>
      <c r="AL5" s="4"/>
    </row>
    <row r="6" spans="1:38" x14ac:dyDescent="0.25">
      <c r="A6" s="3"/>
      <c r="B6" s="3"/>
      <c r="C6" s="3"/>
      <c r="D6" s="3"/>
      <c r="E6" s="3"/>
      <c r="F6" s="3"/>
      <c r="G6" s="3"/>
      <c r="H6" s="4" t="s">
        <v>18</v>
      </c>
      <c r="I6" s="4" t="s">
        <v>19</v>
      </c>
      <c r="J6" s="4" t="s">
        <v>20</v>
      </c>
      <c r="K6" s="4" t="s">
        <v>21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18</v>
      </c>
      <c r="X6" s="4" t="s">
        <v>19</v>
      </c>
      <c r="Y6" s="4" t="s">
        <v>20</v>
      </c>
      <c r="Z6" s="4" t="s">
        <v>21</v>
      </c>
      <c r="AA6" s="4" t="s">
        <v>22</v>
      </c>
      <c r="AB6" s="4" t="s">
        <v>23</v>
      </c>
      <c r="AC6" s="4" t="s">
        <v>24</v>
      </c>
      <c r="AD6" s="3"/>
      <c r="AE6" s="4" t="s">
        <v>18</v>
      </c>
      <c r="AF6" s="4" t="s">
        <v>19</v>
      </c>
      <c r="AG6" s="4" t="s">
        <v>20</v>
      </c>
      <c r="AH6" s="4" t="s">
        <v>21</v>
      </c>
      <c r="AI6" s="4" t="s">
        <v>22</v>
      </c>
      <c r="AJ6" s="4" t="s">
        <v>23</v>
      </c>
      <c r="AK6" s="4"/>
      <c r="AL6" s="4"/>
    </row>
    <row r="7" spans="1:38" s="5" customFormat="1" x14ac:dyDescent="0.25">
      <c r="A7" s="6">
        <f>'KHOA CNTT'!A$7</f>
      </c>
      <c r="B7" s="7">
        <f>'KHOA CNTT'!B$7</f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s="5" customFormat="1" x14ac:dyDescent="0.25">
      <c r="A8" s="8">
        <f>'KHOA CNTT'!A$8</f>
      </c>
      <c r="B8" s="9">
        <f>'KHOA CNTT'!B$8</f>
      </c>
      <c r="C8" s="10">
        <f>'KHOA CNTT'!C$8</f>
      </c>
      <c r="D8" s="11">
        <f>'KHOA CNTT'!D$8</f>
      </c>
      <c r="E8" s="11">
        <f>'KHOA CNTT'!E$8</f>
      </c>
      <c r="F8" s="11">
        <f>'KHOA CNTT'!F$8</f>
      </c>
      <c r="G8" s="11">
        <f>'KHOA CNTT'!G$8</f>
      </c>
      <c r="H8" s="11">
        <f>'KHOA CNTT'!H$8</f>
      </c>
      <c r="I8" s="11">
        <f>'KHOA CNTT'!I$8</f>
      </c>
      <c r="J8" s="11">
        <f>'KHOA CNTT'!J$8</f>
      </c>
      <c r="K8" s="11">
        <f>'KHOA CNTT'!K$8</f>
      </c>
      <c r="L8" s="11">
        <f>'KHOA CNTT'!L$8</f>
      </c>
      <c r="M8" s="11">
        <f>'KHOA CNTT'!M$8</f>
      </c>
      <c r="N8" s="11">
        <f>'KHOA CNTT'!N$8</f>
      </c>
      <c r="O8" s="11">
        <f>'KHOA CNTT'!O$8</f>
      </c>
      <c r="P8" s="11">
        <f>'KHOA CNTT'!P$8</f>
      </c>
      <c r="Q8" s="11">
        <f>'KHOA CNTT'!Q$8</f>
      </c>
      <c r="R8" s="11">
        <f>'KHOA CNTT'!R$8</f>
      </c>
      <c r="S8" s="11">
        <f>'KHOA CNTT'!S$8</f>
      </c>
      <c r="T8" s="11">
        <f>'KHOA CNTT'!T$8</f>
      </c>
      <c r="U8" s="11">
        <f>'KHOA CNTT'!U$8</f>
      </c>
      <c r="V8" s="11">
        <f>'KHOA CNTT'!V$8</f>
      </c>
      <c r="W8" s="11">
        <f>'KHOA CNTT'!W$8</f>
      </c>
      <c r="X8" s="11">
        <f>'KHOA CNTT'!X$8</f>
      </c>
      <c r="Y8" s="11">
        <f>'KHOA CNTT'!Y$8</f>
      </c>
      <c r="Z8" s="11">
        <f>'KHOA CNTT'!Z$8</f>
      </c>
      <c r="AA8" s="11">
        <f>'KHOA CNTT'!AA$8</f>
      </c>
      <c r="AB8" s="11">
        <f>'KHOA CNTT'!AB$8</f>
      </c>
      <c r="AC8" s="11">
        <f>'KHOA CNTT'!AC$8</f>
      </c>
      <c r="AD8" s="10">
        <f>'KHOA CNTT'!AD$8</f>
      </c>
      <c r="AE8" s="10">
        <f>'KHOA CNTT'!AE$8</f>
      </c>
      <c r="AF8" s="10">
        <f>'KHOA CNTT'!AF$8</f>
      </c>
      <c r="AG8" s="10">
        <f>'KHOA CNTT'!AG$8</f>
      </c>
      <c r="AH8" s="10">
        <f>'KHOA CNTT'!AH$8</f>
      </c>
      <c r="AI8" s="10">
        <f>'KHOA CNTT'!AI$8</f>
      </c>
      <c r="AJ8" s="10">
        <f>'KHOA CNTT'!AJ$8</f>
      </c>
      <c r="AK8" s="10">
        <f>'KHOA CNTT'!AK$8</f>
      </c>
      <c r="AL8" s="12"/>
    </row>
    <row r="9" spans="1:38" s="5" customFormat="1" x14ac:dyDescent="0.25">
      <c r="A9" s="8">
        <f>'KHOA CNTT'!A$9</f>
      </c>
      <c r="B9" s="9">
        <f>'KHOA CNTT'!B$9</f>
      </c>
      <c r="C9" s="10">
        <f>'KHOA CNTT'!C$9</f>
      </c>
      <c r="D9" s="11">
        <f>'KHOA CNTT'!D$9</f>
      </c>
      <c r="E9" s="11">
        <f>'KHOA CNTT'!E$9</f>
      </c>
      <c r="F9" s="11">
        <f>'KHOA CNTT'!F$9</f>
      </c>
      <c r="G9" s="11">
        <f>'KHOA CNTT'!G$9</f>
      </c>
      <c r="H9" s="11">
        <f>'KHOA CNTT'!H$9</f>
      </c>
      <c r="I9" s="11">
        <f>'KHOA CNTT'!I$9</f>
      </c>
      <c r="J9" s="11">
        <f>'KHOA CNTT'!J$9</f>
      </c>
      <c r="K9" s="11">
        <f>'KHOA CNTT'!K$9</f>
      </c>
      <c r="L9" s="11">
        <f>'KHOA CNTT'!L$9</f>
      </c>
      <c r="M9" s="11">
        <f>'KHOA CNTT'!M$9</f>
      </c>
      <c r="N9" s="11">
        <f>'KHOA CNTT'!N$9</f>
      </c>
      <c r="O9" s="11">
        <f>'KHOA CNTT'!O$9</f>
      </c>
      <c r="P9" s="11">
        <f>'KHOA CNTT'!P$9</f>
      </c>
      <c r="Q9" s="11">
        <f>'KHOA CNTT'!Q$9</f>
      </c>
      <c r="R9" s="11">
        <f>'KHOA CNTT'!R$9</f>
      </c>
      <c r="S9" s="11">
        <f>'KHOA CNTT'!S$9</f>
      </c>
      <c r="T9" s="11">
        <f>'KHOA CNTT'!T$9</f>
      </c>
      <c r="U9" s="11">
        <f>'KHOA CNTT'!U$9</f>
      </c>
      <c r="V9" s="11">
        <f>'KHOA CNTT'!V$9</f>
      </c>
      <c r="W9" s="11">
        <f>'KHOA CNTT'!W$9</f>
      </c>
      <c r="X9" s="11">
        <f>'KHOA CNTT'!X$9</f>
      </c>
      <c r="Y9" s="11">
        <f>'KHOA CNTT'!Y$9</f>
      </c>
      <c r="Z9" s="11">
        <f>'KHOA CNTT'!Z$9</f>
      </c>
      <c r="AA9" s="11">
        <f>'KHOA CNTT'!AA$9</f>
      </c>
      <c r="AB9" s="11">
        <f>'KHOA CNTT'!AB$9</f>
      </c>
      <c r="AC9" s="11">
        <f>'KHOA CNTT'!AC$9</f>
      </c>
      <c r="AD9" s="10">
        <f>'KHOA CNTT'!AD$9</f>
      </c>
      <c r="AE9" s="10">
        <f>'KHOA CNTT'!AE$9</f>
      </c>
      <c r="AF9" s="10">
        <f>'KHOA CNTT'!AF$9</f>
      </c>
      <c r="AG9" s="10">
        <f>'KHOA CNTT'!AG$9</f>
      </c>
      <c r="AH9" s="10">
        <f>'KHOA CNTT'!AH$9</f>
      </c>
      <c r="AI9" s="10">
        <f>'KHOA CNTT'!AI$9</f>
      </c>
      <c r="AJ9" s="10">
        <f>'KHOA CNTT'!AJ$9</f>
      </c>
      <c r="AK9" s="10">
        <f>'KHOA CNTT'!AK$9</f>
      </c>
      <c r="AL9" s="12"/>
    </row>
    <row r="10" spans="1:38" x14ac:dyDescent="0.25">
      <c r="A10" s="6" t="s">
        <v>25</v>
      </c>
      <c r="B10" s="13"/>
      <c r="C10" s="14"/>
      <c r="D10" s="15">
        <f>'KHOA CNTT'!D$10</f>
      </c>
      <c r="E10" s="15">
        <f>'KHOA CNTT'!E$10</f>
      </c>
      <c r="F10" s="15">
        <f>'KHOA CNTT'!F$10</f>
      </c>
      <c r="G10" s="15">
        <f>'KHOA CNTT'!G$10</f>
      </c>
      <c r="H10" s="15">
        <f>'KHOA CNTT'!H$10</f>
      </c>
      <c r="I10" s="15">
        <f>'KHOA CNTT'!I$10</f>
      </c>
      <c r="J10" s="15">
        <f>'KHOA CNTT'!J$10</f>
      </c>
      <c r="K10" s="15">
        <f>'KHOA CNTT'!K$10</f>
      </c>
      <c r="L10" s="15">
        <f>'KHOA CNTT'!L$10</f>
      </c>
      <c r="M10" s="15">
        <f>'KHOA CNTT'!M$10</f>
      </c>
      <c r="N10" s="15">
        <f>'KHOA CNTT'!N$10</f>
      </c>
      <c r="O10" s="15">
        <f>'KHOA CNTT'!O$10</f>
      </c>
      <c r="P10" s="15">
        <f>'KHOA CNTT'!P$10</f>
      </c>
      <c r="Q10" s="15">
        <f>'KHOA CNTT'!Q$10</f>
      </c>
      <c r="R10" s="15">
        <f>'KHOA CNTT'!R$10</f>
      </c>
      <c r="S10" s="15">
        <f>'KHOA CNTT'!S$10</f>
      </c>
      <c r="T10" s="15">
        <f>'KHOA CNTT'!T$10</f>
      </c>
      <c r="U10" s="15">
        <f>'KHOA CNTT'!U$10</f>
      </c>
      <c r="V10" s="15">
        <f>'KHOA CNTT'!V$10</f>
      </c>
      <c r="W10" s="15">
        <f>'KHOA CNTT'!W$10</f>
      </c>
      <c r="X10" s="15">
        <f>'KHOA CNTT'!X$10</f>
      </c>
      <c r="Y10" s="15">
        <f>'KHOA CNTT'!Y$10</f>
      </c>
      <c r="Z10" s="15">
        <f>'KHOA CNTT'!Z$10</f>
      </c>
      <c r="AA10" s="15">
        <f>'KHOA CNTT'!AA$10</f>
      </c>
      <c r="AB10" s="15">
        <f>'KHOA CNTT'!AB$10</f>
      </c>
      <c r="AC10" s="15">
        <f>'KHOA CNTT'!AC$10</f>
      </c>
      <c r="AD10" s="16">
        <f>'KHOA CNTT'!AD$10</f>
      </c>
      <c r="AE10" s="16">
        <f>'KHOA CNTT'!AE$10</f>
      </c>
      <c r="AF10" s="16">
        <f>'KHOA CNTT'!AF$10</f>
      </c>
      <c r="AG10" s="16">
        <f>'KHOA CNTT'!AG$10</f>
      </c>
      <c r="AH10" s="16">
        <f>'KHOA CNTT'!AH$10</f>
      </c>
      <c r="AI10" s="16">
        <f>'KHOA CNTT'!AI$10</f>
      </c>
      <c r="AJ10" s="16">
        <f>'KHOA CNTT'!AJ$10</f>
      </c>
      <c r="AK10" s="16">
        <f>'KHOA CNTT'!AK$10</f>
      </c>
      <c r="AL10" s="17"/>
    </row>
    <row r="11" spans="1:38" s="5" customFormat="1" x14ac:dyDescent="0.25">
      <c r="A11" s="6">
        <f>'KHOA MẬT MÃ'!A$7</f>
      </c>
      <c r="B11" s="7">
        <f>'KHOA MẬT MÃ'!B$7</f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ht="18.75" customHeight="1" spans="1:38" s="5" customFormat="1" x14ac:dyDescent="0.25">
      <c r="A12" s="8">
        <f>'KHOA MẬT MÃ'!A$8</f>
      </c>
      <c r="B12" s="9">
        <f>'KHOA MẬT MÃ'!B$8</f>
      </c>
      <c r="C12" s="10">
        <f>'KHOA MẬT MÃ'!C$8</f>
      </c>
      <c r="D12" s="11">
        <f>'KHOA MẬT MÃ'!D$8</f>
      </c>
      <c r="E12" s="11">
        <f>'KHOA MẬT MÃ'!E$8</f>
      </c>
      <c r="F12" s="11">
        <f>'KHOA MẬT MÃ'!F$8</f>
      </c>
      <c r="G12" s="11">
        <f>'KHOA MẬT MÃ'!G$8</f>
      </c>
      <c r="H12" s="11">
        <f>'KHOA MẬT MÃ'!H$8</f>
      </c>
      <c r="I12" s="11">
        <f>'KHOA MẬT MÃ'!I$8</f>
      </c>
      <c r="J12" s="11">
        <f>'KHOA MẬT MÃ'!J$8</f>
      </c>
      <c r="K12" s="11">
        <f>'KHOA MẬT MÃ'!K$8</f>
      </c>
      <c r="L12" s="11">
        <f>'KHOA MẬT MÃ'!L$8</f>
      </c>
      <c r="M12" s="11">
        <f>'KHOA MẬT MÃ'!M$8</f>
      </c>
      <c r="N12" s="11">
        <f>'KHOA MẬT MÃ'!N$8</f>
      </c>
      <c r="O12" s="11">
        <f>'KHOA MẬT MÃ'!O$8</f>
      </c>
      <c r="P12" s="11">
        <f>'KHOA MẬT MÃ'!P$8</f>
      </c>
      <c r="Q12" s="11">
        <f>'KHOA MẬT MÃ'!Q$8</f>
      </c>
      <c r="R12" s="11">
        <f>'KHOA MẬT MÃ'!R$8</f>
      </c>
      <c r="S12" s="11">
        <f>'KHOA MẬT MÃ'!S$8</f>
      </c>
      <c r="T12" s="11">
        <f>'KHOA MẬT MÃ'!T$8</f>
      </c>
      <c r="U12" s="11">
        <f>'KHOA MẬT MÃ'!U$8</f>
      </c>
      <c r="V12" s="11">
        <f>'KHOA MẬT MÃ'!V$8</f>
      </c>
      <c r="W12" s="11">
        <f>'KHOA MẬT MÃ'!W$8</f>
      </c>
      <c r="X12" s="11">
        <f>'KHOA MẬT MÃ'!X$8</f>
      </c>
      <c r="Y12" s="11">
        <f>'KHOA MẬT MÃ'!Y$8</f>
      </c>
      <c r="Z12" s="11">
        <f>'KHOA MẬT MÃ'!Z$8</f>
      </c>
      <c r="AA12" s="11">
        <f>'KHOA MẬT MÃ'!AA$8</f>
      </c>
      <c r="AB12" s="11">
        <f>'KHOA MẬT MÃ'!AB$8</f>
      </c>
      <c r="AC12" s="11">
        <f>'KHOA MẬT MÃ'!AC$8</f>
      </c>
      <c r="AD12" s="10">
        <f>'KHOA MẬT MÃ'!AD$8</f>
      </c>
      <c r="AE12" s="10">
        <f>'KHOA MẬT MÃ'!AE$8</f>
      </c>
      <c r="AF12" s="10">
        <f>'KHOA MẬT MÃ'!AF$8</f>
      </c>
      <c r="AG12" s="10">
        <f>'KHOA MẬT MÃ'!AG$8</f>
      </c>
      <c r="AH12" s="10">
        <f>'KHOA MẬT MÃ'!AH$8</f>
      </c>
      <c r="AI12" s="10">
        <f>'KHOA MẬT MÃ'!AI$8</f>
      </c>
      <c r="AJ12" s="10">
        <f>'KHOA MẬT MÃ'!AJ$8</f>
      </c>
      <c r="AK12" s="10">
        <f>'KHOA MẬT MÃ'!AK$8</f>
      </c>
      <c r="AL12" s="12"/>
    </row>
    <row r="13" spans="1:38" x14ac:dyDescent="0.25">
      <c r="A13" s="6" t="s">
        <v>25</v>
      </c>
      <c r="B13" s="13"/>
      <c r="C13" s="14"/>
      <c r="D13" s="15">
        <f>'KHOA MẬT MÃ'!D$9</f>
      </c>
      <c r="E13" s="15">
        <f>'KHOA MẬT MÃ'!E$9</f>
      </c>
      <c r="F13" s="15">
        <f>'KHOA MẬT MÃ'!F$9</f>
      </c>
      <c r="G13" s="15">
        <f>'KHOA MẬT MÃ'!G$9</f>
      </c>
      <c r="H13" s="15">
        <f>'KHOA MẬT MÃ'!H$9</f>
      </c>
      <c r="I13" s="15">
        <f>'KHOA MẬT MÃ'!I$9</f>
      </c>
      <c r="J13" s="15">
        <f>'KHOA MẬT MÃ'!J$9</f>
      </c>
      <c r="K13" s="15">
        <f>'KHOA MẬT MÃ'!K$9</f>
      </c>
      <c r="L13" s="15">
        <f>'KHOA MẬT MÃ'!L$9</f>
      </c>
      <c r="M13" s="15">
        <f>'KHOA MẬT MÃ'!M$9</f>
      </c>
      <c r="N13" s="15">
        <f>'KHOA MẬT MÃ'!N$9</f>
      </c>
      <c r="O13" s="15">
        <f>'KHOA MẬT MÃ'!O$9</f>
      </c>
      <c r="P13" s="15">
        <f>'KHOA MẬT MÃ'!P$9</f>
      </c>
      <c r="Q13" s="15">
        <f>'KHOA MẬT MÃ'!Q$9</f>
      </c>
      <c r="R13" s="15">
        <f>'KHOA MẬT MÃ'!R$9</f>
      </c>
      <c r="S13" s="15">
        <f>'KHOA MẬT MÃ'!S$9</f>
      </c>
      <c r="T13" s="15">
        <f>'KHOA MẬT MÃ'!T$9</f>
      </c>
      <c r="U13" s="15">
        <f>'KHOA MẬT MÃ'!U$9</f>
      </c>
      <c r="V13" s="15">
        <f>'KHOA MẬT MÃ'!V$9</f>
      </c>
      <c r="W13" s="15">
        <f>'KHOA MẬT MÃ'!W$9</f>
      </c>
      <c r="X13" s="15">
        <f>'KHOA MẬT MÃ'!X$9</f>
      </c>
      <c r="Y13" s="15">
        <f>'KHOA MẬT MÃ'!Y$9</f>
      </c>
      <c r="Z13" s="15">
        <f>'KHOA MẬT MÃ'!Z$9</f>
      </c>
      <c r="AA13" s="15">
        <f>'KHOA MẬT MÃ'!AA$9</f>
      </c>
      <c r="AB13" s="15">
        <f>'KHOA MẬT MÃ'!AB$9</f>
      </c>
      <c r="AC13" s="15">
        <f>'KHOA MẬT MÃ'!AC$9</f>
      </c>
      <c r="AD13" s="16">
        <f>'KHOA MẬT MÃ'!AD$9</f>
      </c>
      <c r="AE13" s="16">
        <f>'KHOA MẬT MÃ'!AE$9</f>
      </c>
      <c r="AF13" s="16">
        <f>'KHOA MẬT MÃ'!AF$9</f>
      </c>
      <c r="AG13" s="16">
        <f>'KHOA MẬT MÃ'!AG$9</f>
      </c>
      <c r="AH13" s="16">
        <f>'KHOA MẬT MÃ'!AH$9</f>
      </c>
      <c r="AI13" s="16">
        <f>'KHOA MẬT MÃ'!AI$9</f>
      </c>
      <c r="AJ13" s="16">
        <f>'KHOA MẬT MÃ'!AJ$9</f>
      </c>
      <c r="AK13" s="16">
        <f>'KHOA MẬT MÃ'!AK$9</f>
      </c>
      <c r="AL13" s="17"/>
    </row>
    <row r="14" ht="24" customHeight="1" spans="1:38" x14ac:dyDescent="0.25">
      <c r="A14" s="18" t="s">
        <v>26</v>
      </c>
      <c r="B14" s="13"/>
      <c r="C14" s="14"/>
      <c r="D14" s="15">
        <f>SUM(D$10,D$13)</f>
      </c>
      <c r="E14" s="15">
        <f>SUM(E$10,E$13)</f>
      </c>
      <c r="F14" s="15">
        <f>SUM(F$10,F$13)</f>
      </c>
      <c r="G14" s="15">
        <f>SUM(G$10,G$13)</f>
      </c>
      <c r="H14" s="15">
        <f>SUM(H$10,H$13)</f>
      </c>
      <c r="I14" s="15">
        <f>SUM(I$10,I$13)</f>
      </c>
      <c r="J14" s="15">
        <f>SUM(J$10,J$13)</f>
      </c>
      <c r="K14" s="15">
        <f>SUM(K$10,K$13)</f>
      </c>
      <c r="L14" s="15">
        <f>SUM(L$10,L$13)</f>
      </c>
      <c r="M14" s="15">
        <f>SUM(M$10,M$13)</f>
      </c>
      <c r="N14" s="15">
        <f>SUM(N$10,N$13)</f>
      </c>
      <c r="O14" s="15">
        <f>SUM(O$10,O$13)</f>
      </c>
      <c r="P14" s="15">
        <f>SUM(P$10,P$13)</f>
      </c>
      <c r="Q14" s="15">
        <f>SUM(Q$10,Q$13)</f>
      </c>
      <c r="R14" s="15">
        <f>SUM(R$10,R$13)</f>
      </c>
      <c r="S14" s="15">
        <f>SUM(S$10,S$13)</f>
      </c>
      <c r="T14" s="15">
        <f>SUM(T$10,T$13)</f>
      </c>
      <c r="U14" s="15">
        <f>SUM(U$10,U$13)</f>
      </c>
      <c r="V14" s="15">
        <f>SUM(V$10,V$13)</f>
      </c>
      <c r="W14" s="15">
        <f>SUM(W$10,W$13)</f>
      </c>
      <c r="X14" s="15">
        <f>SUM(X$10,X$13)</f>
      </c>
      <c r="Y14" s="15">
        <f>SUM(Y$10,Y$13)</f>
      </c>
      <c r="Z14" s="15">
        <f>SUM(Z$10,Z$13)</f>
      </c>
      <c r="AA14" s="15">
        <f>SUM(AA$10,AA$13)</f>
      </c>
      <c r="AB14" s="15">
        <f>SUM(AB$10,AB$13)</f>
      </c>
      <c r="AC14" s="15">
        <f>SUM(AC$10,AC$13)</f>
      </c>
      <c r="AD14" s="16">
        <f>SUM(AD$10,AD$13)</f>
      </c>
      <c r="AE14" s="16">
        <f>SUM(AE$10,AE$13)</f>
      </c>
      <c r="AF14" s="16">
        <f>SUM(AF$10,AF$13)</f>
      </c>
      <c r="AG14" s="16">
        <f>SUM(AG$10,AG$13)</f>
      </c>
      <c r="AH14" s="16">
        <f>SUM(AH$10,AH$13)</f>
      </c>
      <c r="AI14" s="16">
        <f>SUM(AI$10,AI$13)</f>
      </c>
      <c r="AJ14" s="16">
        <f>SUM(AJ$10,AJ$13)</f>
      </c>
      <c r="AK14" s="16">
        <f>SUM(AK$10,AK$13)</f>
      </c>
      <c r="AL14" s="17"/>
    </row>
    <row r="15" ht="18.75" customHeight="1" spans="1:38" x14ac:dyDescent="0.25">
      <c r="A15" s="19"/>
      <c r="B15" s="20" t="s">
        <v>27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</sheetData>
  <mergeCells count="21">
    <mergeCell ref="A1:AL1"/>
    <mergeCell ref="A2:AL2"/>
    <mergeCell ref="H4:V4"/>
    <mergeCell ref="W4:AC5"/>
    <mergeCell ref="AE4:AJ5"/>
    <mergeCell ref="A4:A6"/>
    <mergeCell ref="B4:B6"/>
    <mergeCell ref="C4:C6"/>
    <mergeCell ref="D4:D6"/>
    <mergeCell ref="E4:E6"/>
    <mergeCell ref="F4:F6"/>
    <mergeCell ref="G4:G6"/>
    <mergeCell ref="H5:K5"/>
    <mergeCell ref="L5:P5"/>
    <mergeCell ref="Q5:V5"/>
    <mergeCell ref="AD4:AD6"/>
    <mergeCell ref="AK4:AK6"/>
    <mergeCell ref="AL4:AL6"/>
    <mergeCell ref="B7:AL7"/>
    <mergeCell ref="B11:AL11"/>
    <mergeCell ref="B15:AL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"/>
  <sheetViews>
    <sheetView workbookViewId="0" zoomScale="100" zoomScaleNormal="100">
      <selection activeCell="O23" sqref="O23"/>
    </sheetView>
  </sheetViews>
  <sheetFormatPr defaultRowHeight="15" outlineLevelRow="0" outlineLevelCol="0" x14ac:dyDescent="0.25"/>
  <cols>
    <col min="2" max="2" width="18.28515625" customWidth="1"/>
    <col min="3" max="3" width="14.140625" customWidth="1"/>
  </cols>
  <sheetData>
    <row r="1" ht="18.75" customHeight="1" spans="1:3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8.75" customHeight="1" spans="1:38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4" spans="1:3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 t="s">
        <v>10</v>
      </c>
      <c r="X4" s="4"/>
      <c r="Y4" s="4"/>
      <c r="Z4" s="4"/>
      <c r="AA4" s="4"/>
      <c r="AB4" s="4"/>
      <c r="AC4" s="4"/>
      <c r="AD4" s="3" t="s">
        <v>11</v>
      </c>
      <c r="AE4" s="4" t="s">
        <v>12</v>
      </c>
      <c r="AF4" s="4"/>
      <c r="AG4" s="4"/>
      <c r="AH4" s="4"/>
      <c r="AI4" s="4"/>
      <c r="AJ4" s="4"/>
      <c r="AK4" s="4" t="s">
        <v>13</v>
      </c>
      <c r="AL4" s="4" t="s">
        <v>14</v>
      </c>
    </row>
    <row r="5" spans="1:38" x14ac:dyDescent="0.25">
      <c r="A5" s="3"/>
      <c r="B5" s="3"/>
      <c r="C5" s="3"/>
      <c r="D5" s="3"/>
      <c r="E5" s="3"/>
      <c r="F5" s="3"/>
      <c r="G5" s="3"/>
      <c r="H5" s="4" t="s">
        <v>15</v>
      </c>
      <c r="I5" s="4"/>
      <c r="J5" s="4"/>
      <c r="K5" s="4"/>
      <c r="L5" s="4" t="s">
        <v>16</v>
      </c>
      <c r="M5" s="4"/>
      <c r="N5" s="4"/>
      <c r="O5" s="4"/>
      <c r="P5" s="4"/>
      <c r="Q5" s="4" t="s">
        <v>17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3"/>
      <c r="AE5" s="4"/>
      <c r="AF5" s="4"/>
      <c r="AG5" s="4"/>
      <c r="AH5" s="4"/>
      <c r="AI5" s="4"/>
      <c r="AJ5" s="4"/>
      <c r="AK5" s="4"/>
      <c r="AL5" s="4"/>
    </row>
    <row r="6" spans="1:38" x14ac:dyDescent="0.25">
      <c r="A6" s="3"/>
      <c r="B6" s="3"/>
      <c r="C6" s="3"/>
      <c r="D6" s="3"/>
      <c r="E6" s="3"/>
      <c r="F6" s="3"/>
      <c r="G6" s="3"/>
      <c r="H6" s="4" t="s">
        <v>18</v>
      </c>
      <c r="I6" s="4" t="s">
        <v>19</v>
      </c>
      <c r="J6" s="4" t="s">
        <v>20</v>
      </c>
      <c r="K6" s="4" t="s">
        <v>21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18</v>
      </c>
      <c r="X6" s="4" t="s">
        <v>19</v>
      </c>
      <c r="Y6" s="4" t="s">
        <v>20</v>
      </c>
      <c r="Z6" s="4" t="s">
        <v>21</v>
      </c>
      <c r="AA6" s="4" t="s">
        <v>22</v>
      </c>
      <c r="AB6" s="4" t="s">
        <v>23</v>
      </c>
      <c r="AC6" s="4" t="s">
        <v>24</v>
      </c>
      <c r="AD6" s="3"/>
      <c r="AE6" s="4" t="s">
        <v>18</v>
      </c>
      <c r="AF6" s="4" t="s">
        <v>19</v>
      </c>
      <c r="AG6" s="4" t="s">
        <v>20</v>
      </c>
      <c r="AH6" s="4" t="s">
        <v>21</v>
      </c>
      <c r="AI6" s="4" t="s">
        <v>22</v>
      </c>
      <c r="AJ6" s="4" t="s">
        <v>23</v>
      </c>
      <c r="AK6" s="4"/>
      <c r="AL6" s="4"/>
    </row>
    <row r="7" hidden="1" spans="1:38" x14ac:dyDescent="0.25">
      <c r="A7" s="6" t="s">
        <v>29</v>
      </c>
      <c r="B7" s="7" t="s">
        <v>30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x14ac:dyDescent="0.25">
      <c r="A8" s="8">
        <v>1</v>
      </c>
      <c r="B8" s="9" t="s">
        <v>31</v>
      </c>
      <c r="C8" s="10">
        <v>22541435</v>
      </c>
      <c r="D8" s="11">
        <v>270</v>
      </c>
      <c r="E8" s="11">
        <v>81</v>
      </c>
      <c r="F8" s="11">
        <v>0</v>
      </c>
      <c r="G8" s="11">
        <v>189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538.75</v>
      </c>
      <c r="Q8" s="11">
        <f>SUM(H8,L8)</f>
      </c>
      <c r="R8" s="11">
        <f>SUM(I8,M8)</f>
      </c>
      <c r="S8" s="11">
        <f>SUM(J8,N8)</f>
      </c>
      <c r="T8" s="11">
        <f>SUM(K8,O8)</f>
      </c>
      <c r="U8" s="11">
        <f>SUM(P8)</f>
      </c>
      <c r="V8" s="11">
        <f>SUM(Q8,R8,S8,T8,U8)</f>
      </c>
      <c r="W8" s="11">
        <v>120</v>
      </c>
      <c r="X8" s="11">
        <v>10</v>
      </c>
      <c r="Y8" s="11">
        <v>95</v>
      </c>
      <c r="Z8" s="11">
        <v>0</v>
      </c>
      <c r="AA8" s="11">
        <v>36.3</v>
      </c>
      <c r="AB8" s="11">
        <f>SUM(W8,X8,Y8,Z8,AA8)</f>
      </c>
      <c r="AC8" s="11">
        <f>AB8</f>
      </c>
      <c r="AD8" s="10">
        <v>100000</v>
      </c>
      <c r="AE8" s="10">
        <f>ROUND(W8*AD8,0)</f>
      </c>
      <c r="AF8" s="10">
        <f>ROUND(X8*AD8,0)</f>
      </c>
      <c r="AG8" s="10">
        <f>ROUND(Y8*AD8,0)</f>
      </c>
      <c r="AH8" s="10">
        <f>ROUND(Z8*AD8,0)</f>
      </c>
      <c r="AI8" s="10">
        <f>ROUND(AA8*AD8,0)</f>
      </c>
      <c r="AJ8" s="10">
        <f>SUM(AE8,AF8,AG8,AH8,AI8)</f>
      </c>
      <c r="AK8" s="10">
        <f>IF(AC8&gt;0,ROUND(V8/AC8*AJ8,0),0)</f>
      </c>
      <c r="AL8" s="11" t="s">
        <v>32</v>
      </c>
    </row>
    <row r="9" spans="1:38" x14ac:dyDescent="0.25">
      <c r="A9" s="8">
        <v>2</v>
      </c>
      <c r="B9" s="9" t="s">
        <v>33</v>
      </c>
      <c r="C9" s="10">
        <v>30424205</v>
      </c>
      <c r="D9" s="11">
        <v>270</v>
      </c>
      <c r="E9" s="11">
        <v>40.5</v>
      </c>
      <c r="F9" s="11">
        <v>67.33</v>
      </c>
      <c r="G9" s="11">
        <v>296.83</v>
      </c>
      <c r="H9" s="11">
        <v>0</v>
      </c>
      <c r="I9" s="11">
        <v>0</v>
      </c>
      <c r="J9" s="11">
        <v>0</v>
      </c>
      <c r="K9" s="11">
        <v>0</v>
      </c>
      <c r="L9" s="11">
        <v>7.1</v>
      </c>
      <c r="M9" s="11">
        <v>0</v>
      </c>
      <c r="N9" s="11">
        <v>0</v>
      </c>
      <c r="O9" s="11">
        <v>0</v>
      </c>
      <c r="P9" s="11">
        <v>581.9</v>
      </c>
      <c r="Q9" s="11">
        <f>SUM(H9,L9)</f>
      </c>
      <c r="R9" s="11">
        <f>SUM(I9,M9)</f>
      </c>
      <c r="S9" s="11">
        <f>SUM(J9,N9)</f>
      </c>
      <c r="T9" s="11">
        <f>SUM(K9,O9)</f>
      </c>
      <c r="U9" s="11">
        <f>SUM(P9)</f>
      </c>
      <c r="V9" s="11">
        <f>SUM(Q9,R9,S9,T9,U9)</f>
      </c>
      <c r="W9" s="11">
        <v>180</v>
      </c>
      <c r="X9" s="11">
        <v>15</v>
      </c>
      <c r="Y9" s="11">
        <v>120</v>
      </c>
      <c r="Z9" s="11">
        <v>20</v>
      </c>
      <c r="AA9" s="11">
        <v>7.1</v>
      </c>
      <c r="AB9" s="11">
        <f>SUM(W9,X9,Y9,Z9,AA9)</f>
      </c>
      <c r="AC9" s="11">
        <f>AB9</f>
      </c>
      <c r="AD9" s="10">
        <v>100000</v>
      </c>
      <c r="AE9" s="10">
        <f>ROUND(W9*AD9,0)</f>
      </c>
      <c r="AF9" s="10">
        <f>ROUND(X9*AD9,0)</f>
      </c>
      <c r="AG9" s="10">
        <f>ROUND(Y9*AD9,0)</f>
      </c>
      <c r="AH9" s="10">
        <f>ROUND(Z9*AD9,0)</f>
      </c>
      <c r="AI9" s="10">
        <f>ROUND(AA9*AD9,0)</f>
      </c>
      <c r="AJ9" s="10">
        <f>SUM(AE9,AF9,AG9,AH9,AI9)</f>
      </c>
      <c r="AK9" s="10">
        <f>IF(AC9&gt;0,ROUND(V9/AC9*AJ9,0),0)</f>
      </c>
      <c r="AL9" s="11" t="s">
        <v>32</v>
      </c>
    </row>
    <row r="10" spans="1:38" x14ac:dyDescent="0.25">
      <c r="A10" s="6" t="s">
        <v>25</v>
      </c>
      <c r="B10" s="13"/>
      <c r="C10" s="14"/>
      <c r="D10" s="15">
        <f>SUM(D$8:D$9)</f>
      </c>
      <c r="E10" s="15">
        <f>SUM(E$8:E$9)</f>
      </c>
      <c r="F10" s="15">
        <f>SUM(F$8:F$9)</f>
      </c>
      <c r="G10" s="15">
        <f>SUM(G$8:G$9)</f>
      </c>
      <c r="H10" s="15">
        <f>SUM(H$8:H$9)</f>
      </c>
      <c r="I10" s="15">
        <f>SUM(I$8:I$9)</f>
      </c>
      <c r="J10" s="15">
        <f>SUM(J$8:J$9)</f>
      </c>
      <c r="K10" s="15">
        <f>SUM(K$8:K$9)</f>
      </c>
      <c r="L10" s="15">
        <f>SUM(L$8:L$9)</f>
      </c>
      <c r="M10" s="15">
        <f>SUM(M$8:M$9)</f>
      </c>
      <c r="N10" s="15">
        <f>SUM(N$8:N$9)</f>
      </c>
      <c r="O10" s="15">
        <f>SUM(O$8:O$9)</f>
      </c>
      <c r="P10" s="15">
        <f>SUM(P$8:P$9)</f>
      </c>
      <c r="Q10" s="15">
        <f>SUM(Q$8:Q$9)</f>
      </c>
      <c r="R10" s="15">
        <f>SUM(R$8:R$9)</f>
      </c>
      <c r="S10" s="15">
        <f>SUM(S$8:S$9)</f>
      </c>
      <c r="T10" s="15">
        <f>SUM(T$8:T$9)</f>
      </c>
      <c r="U10" s="15">
        <f>SUM(U$8:U$9)</f>
      </c>
      <c r="V10" s="15">
        <f>SUM(V$8:V$9)</f>
      </c>
      <c r="W10" s="15">
        <f>SUM(W$8:W$9)</f>
      </c>
      <c r="X10" s="15">
        <f>SUM(X$8:X$9)</f>
      </c>
      <c r="Y10" s="15">
        <f>SUM(Y$8:Y$9)</f>
      </c>
      <c r="Z10" s="15">
        <f>SUM(Z$8:Z$9)</f>
      </c>
      <c r="AA10" s="15">
        <f>SUM(AA$8:AA$9)</f>
      </c>
      <c r="AB10" s="15">
        <f>SUM(AB$8:AB$9)</f>
      </c>
      <c r="AC10" s="15">
        <f>SUM(AC$8:AC$9)</f>
      </c>
      <c r="AD10" s="16">
        <f>SUM(AD$8:AD$9)</f>
      </c>
      <c r="AE10" s="16">
        <f>SUM(AE$8:AE$9)</f>
      </c>
      <c r="AF10" s="16">
        <f>SUM(AF$8:AF$9)</f>
      </c>
      <c r="AG10" s="16">
        <f>SUM(AG$8:AG$9)</f>
      </c>
      <c r="AH10" s="16">
        <f>SUM(AH$8:AH$9)</f>
      </c>
      <c r="AI10" s="16">
        <f>SUM(AI$8:AI$9)</f>
      </c>
      <c r="AJ10" s="16">
        <f>SUM(AJ$8:AJ$9)</f>
      </c>
      <c r="AK10" s="16">
        <f>SUM(AK$8:AK$9)</f>
      </c>
      <c r="AL10" s="17"/>
    </row>
    <row r="11" ht="18.75" customHeight="1" spans="1:38" x14ac:dyDescent="0.25">
      <c r="A11" s="19"/>
      <c r="B11" s="20" t="s">
        <v>27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</sheetData>
  <mergeCells count="20">
    <mergeCell ref="A1:AL1"/>
    <mergeCell ref="A2:AL2"/>
    <mergeCell ref="H4:V4"/>
    <mergeCell ref="W4:AC5"/>
    <mergeCell ref="AE4:AJ5"/>
    <mergeCell ref="A4:A6"/>
    <mergeCell ref="B4:B6"/>
    <mergeCell ref="C4:C6"/>
    <mergeCell ref="D4:D6"/>
    <mergeCell ref="E4:E6"/>
    <mergeCell ref="F4:F6"/>
    <mergeCell ref="G4:G6"/>
    <mergeCell ref="H5:K5"/>
    <mergeCell ref="L5:P5"/>
    <mergeCell ref="Q5:V5"/>
    <mergeCell ref="AD4:AD6"/>
    <mergeCell ref="AK4:AK6"/>
    <mergeCell ref="AL4:AL6"/>
    <mergeCell ref="B7:AL7"/>
    <mergeCell ref="B11:AL11"/>
  </mergeCells>
  <dataValidations count="208">
    <dataValidation sqref="A1"/>
    <dataValidation sqref="A10"/>
    <dataValidation sqref="A11"/>
    <dataValidation sqref="A12"/>
    <dataValidation sqref="A2"/>
    <dataValidation sqref="A4"/>
    <dataValidation sqref="A5"/>
    <dataValidation sqref="A6"/>
    <dataValidation sqref="A7"/>
    <dataValidation sqref="A8"/>
    <dataValidation sqref="A9"/>
    <dataValidation sqref="AA1"/>
    <dataValidation sqref="AA2"/>
    <dataValidation sqref="AA7"/>
    <dataValidation sqref="AA9"/>
    <dataValidation sqref="AB1"/>
    <dataValidation sqref="AB2"/>
    <dataValidation sqref="AB7"/>
    <dataValidation sqref="AB9"/>
    <dataValidation sqref="AC1"/>
    <dataValidation sqref="AC2"/>
    <dataValidation sqref="AC7"/>
    <dataValidation sqref="AC9"/>
    <dataValidation sqref="AD1"/>
    <dataValidation sqref="AD2"/>
    <dataValidation sqref="AD7"/>
    <dataValidation sqref="AD9"/>
    <dataValidation sqref="AE1"/>
    <dataValidation sqref="AE2"/>
    <dataValidation sqref="AE7"/>
    <dataValidation sqref="AE9"/>
    <dataValidation sqref="AF1"/>
    <dataValidation sqref="AF2"/>
    <dataValidation sqref="AF7"/>
    <dataValidation sqref="AF9"/>
    <dataValidation sqref="AG1"/>
    <dataValidation sqref="AG2"/>
    <dataValidation sqref="AG7"/>
    <dataValidation sqref="AG9"/>
    <dataValidation sqref="AH1"/>
    <dataValidation sqref="AH2"/>
    <dataValidation sqref="AH7"/>
    <dataValidation sqref="AH9"/>
    <dataValidation sqref="AI1"/>
    <dataValidation sqref="AI2"/>
    <dataValidation sqref="AI7"/>
    <dataValidation sqref="AI9"/>
    <dataValidation sqref="AJ1"/>
    <dataValidation sqref="AJ2"/>
    <dataValidation sqref="AJ7"/>
    <dataValidation sqref="AJ9"/>
    <dataValidation sqref="AK1"/>
    <dataValidation sqref="AK2"/>
    <dataValidation sqref="AK7"/>
    <dataValidation sqref="AK9"/>
    <dataValidation sqref="AL1"/>
    <dataValidation sqref="AL2"/>
    <dataValidation sqref="AL7"/>
    <dataValidation sqref="AL9"/>
    <dataValidation sqref="B1"/>
    <dataValidation sqref="B10"/>
    <dataValidation sqref="B11"/>
    <dataValidation sqref="B12"/>
    <dataValidation sqref="B2"/>
    <dataValidation sqref="B4"/>
    <dataValidation sqref="B5"/>
    <dataValidation sqref="B6"/>
    <dataValidation sqref="B7"/>
    <dataValidation sqref="B8"/>
    <dataValidation sqref="B9"/>
    <dataValidation sqref="C1"/>
    <dataValidation sqref="C10"/>
    <dataValidation sqref="C11"/>
    <dataValidation sqref="C12"/>
    <dataValidation sqref="C2"/>
    <dataValidation sqref="C4"/>
    <dataValidation sqref="C5"/>
    <dataValidation sqref="C6"/>
    <dataValidation sqref="C7"/>
    <dataValidation sqref="C8"/>
    <dataValidation sqref="C9"/>
    <dataValidation sqref="D1"/>
    <dataValidation sqref="D10"/>
    <dataValidation sqref="D11"/>
    <dataValidation sqref="D12"/>
    <dataValidation sqref="D2"/>
    <dataValidation sqref="D4"/>
    <dataValidation sqref="D5"/>
    <dataValidation sqref="D6"/>
    <dataValidation sqref="D7"/>
    <dataValidation sqref="D8"/>
    <dataValidation sqref="D9"/>
    <dataValidation sqref="E1"/>
    <dataValidation sqref="E10"/>
    <dataValidation sqref="E11"/>
    <dataValidation sqref="E12"/>
    <dataValidation sqref="E2"/>
    <dataValidation sqref="E4"/>
    <dataValidation sqref="E5"/>
    <dataValidation sqref="E6"/>
    <dataValidation sqref="E7"/>
    <dataValidation sqref="E8"/>
    <dataValidation sqref="E9"/>
    <dataValidation sqref="F1"/>
    <dataValidation sqref="F10"/>
    <dataValidation sqref="F11"/>
    <dataValidation sqref="F12"/>
    <dataValidation sqref="F2"/>
    <dataValidation sqref="F4"/>
    <dataValidation sqref="F5"/>
    <dataValidation sqref="F6"/>
    <dataValidation sqref="F7"/>
    <dataValidation sqref="F8"/>
    <dataValidation sqref="F9"/>
    <dataValidation sqref="G1"/>
    <dataValidation sqref="G10"/>
    <dataValidation sqref="G11"/>
    <dataValidation sqref="G12"/>
    <dataValidation sqref="G2"/>
    <dataValidation sqref="G4"/>
    <dataValidation sqref="G5"/>
    <dataValidation sqref="G6"/>
    <dataValidation sqref="G7"/>
    <dataValidation sqref="G8"/>
    <dataValidation sqref="G9"/>
    <dataValidation sqref="H1"/>
    <dataValidation sqref="H10"/>
    <dataValidation sqref="H11"/>
    <dataValidation sqref="H12"/>
    <dataValidation sqref="H2"/>
    <dataValidation sqref="H4"/>
    <dataValidation sqref="H5"/>
    <dataValidation sqref="H6"/>
    <dataValidation sqref="H7"/>
    <dataValidation sqref="H8"/>
    <dataValidation sqref="H9"/>
    <dataValidation sqref="I1"/>
    <dataValidation sqref="I2"/>
    <dataValidation sqref="I7"/>
    <dataValidation sqref="I9"/>
    <dataValidation sqref="J1"/>
    <dataValidation sqref="J2"/>
    <dataValidation sqref="J7"/>
    <dataValidation sqref="J9"/>
    <dataValidation sqref="K1"/>
    <dataValidation sqref="K2"/>
    <dataValidation sqref="K7"/>
    <dataValidation sqref="K9"/>
    <dataValidation sqref="L1"/>
    <dataValidation sqref="L2"/>
    <dataValidation sqref="L7"/>
    <dataValidation sqref="L9"/>
    <dataValidation sqref="M1"/>
    <dataValidation sqref="M2"/>
    <dataValidation sqref="M7"/>
    <dataValidation sqref="M9"/>
    <dataValidation sqref="N1"/>
    <dataValidation sqref="N2"/>
    <dataValidation sqref="N7"/>
    <dataValidation sqref="N9"/>
    <dataValidation sqref="O1"/>
    <dataValidation sqref="O2"/>
    <dataValidation sqref="O7"/>
    <dataValidation sqref="O9"/>
    <dataValidation sqref="P1"/>
    <dataValidation sqref="P2"/>
    <dataValidation sqref="P7"/>
    <dataValidation sqref="P9"/>
    <dataValidation sqref="Q1"/>
    <dataValidation sqref="Q2"/>
    <dataValidation sqref="Q7"/>
    <dataValidation sqref="Q9"/>
    <dataValidation sqref="R1"/>
    <dataValidation sqref="R2"/>
    <dataValidation sqref="R7"/>
    <dataValidation sqref="R9"/>
    <dataValidation sqref="S1"/>
    <dataValidation sqref="S2"/>
    <dataValidation sqref="S7"/>
    <dataValidation sqref="S9"/>
    <dataValidation sqref="T1"/>
    <dataValidation sqref="T2"/>
    <dataValidation sqref="T7"/>
    <dataValidation sqref="T9"/>
    <dataValidation sqref="U1"/>
    <dataValidation sqref="U2"/>
    <dataValidation sqref="U7"/>
    <dataValidation sqref="U9"/>
    <dataValidation sqref="V1"/>
    <dataValidation sqref="V2"/>
    <dataValidation sqref="V7"/>
    <dataValidation sqref="V9"/>
    <dataValidation sqref="W1"/>
    <dataValidation sqref="W2"/>
    <dataValidation sqref="W7"/>
    <dataValidation sqref="W9"/>
    <dataValidation sqref="X1"/>
    <dataValidation sqref="X2"/>
    <dataValidation sqref="X7"/>
    <dataValidation sqref="X9"/>
    <dataValidation sqref="Y1"/>
    <dataValidation sqref="Y2"/>
    <dataValidation sqref="Y7"/>
    <dataValidation sqref="Y9"/>
    <dataValidation sqref="Z1"/>
    <dataValidation sqref="Z2"/>
    <dataValidation sqref="Z7"/>
    <dataValidation sqref="Z9"/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"/>
  <sheetViews>
    <sheetView workbookViewId="0" zoomScale="100" zoomScaleNormal="100">
      <selection activeCell="O23" sqref="O23"/>
    </sheetView>
  </sheetViews>
  <sheetFormatPr defaultRowHeight="15" outlineLevelRow="0" outlineLevelCol="0" x14ac:dyDescent="0.25"/>
  <cols>
    <col min="2" max="2" width="18.28515625" customWidth="1"/>
    <col min="3" max="3" width="14.140625" customWidth="1"/>
  </cols>
  <sheetData>
    <row r="1" ht="18.75" customHeight="1" spans="1:3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8.75" customHeight="1" spans="1:38" x14ac:dyDescent="0.25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4" spans="1:3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 t="s">
        <v>10</v>
      </c>
      <c r="X4" s="4"/>
      <c r="Y4" s="4"/>
      <c r="Z4" s="4"/>
      <c r="AA4" s="4"/>
      <c r="AB4" s="4"/>
      <c r="AC4" s="4"/>
      <c r="AD4" s="3" t="s">
        <v>11</v>
      </c>
      <c r="AE4" s="4" t="s">
        <v>12</v>
      </c>
      <c r="AF4" s="4"/>
      <c r="AG4" s="4"/>
      <c r="AH4" s="4"/>
      <c r="AI4" s="4"/>
      <c r="AJ4" s="4"/>
      <c r="AK4" s="4" t="s">
        <v>13</v>
      </c>
      <c r="AL4" s="4" t="s">
        <v>14</v>
      </c>
    </row>
    <row r="5" spans="1:38" x14ac:dyDescent="0.25">
      <c r="A5" s="3"/>
      <c r="B5" s="3"/>
      <c r="C5" s="3"/>
      <c r="D5" s="3"/>
      <c r="E5" s="3"/>
      <c r="F5" s="3"/>
      <c r="G5" s="3"/>
      <c r="H5" s="4" t="s">
        <v>15</v>
      </c>
      <c r="I5" s="4"/>
      <c r="J5" s="4"/>
      <c r="K5" s="4"/>
      <c r="L5" s="4" t="s">
        <v>16</v>
      </c>
      <c r="M5" s="4"/>
      <c r="N5" s="4"/>
      <c r="O5" s="4"/>
      <c r="P5" s="4"/>
      <c r="Q5" s="4" t="s">
        <v>17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3"/>
      <c r="AE5" s="4"/>
      <c r="AF5" s="4"/>
      <c r="AG5" s="4"/>
      <c r="AH5" s="4"/>
      <c r="AI5" s="4"/>
      <c r="AJ5" s="4"/>
      <c r="AK5" s="4"/>
      <c r="AL5" s="4"/>
    </row>
    <row r="6" spans="1:38" x14ac:dyDescent="0.25">
      <c r="A6" s="3"/>
      <c r="B6" s="3"/>
      <c r="C6" s="3"/>
      <c r="D6" s="3"/>
      <c r="E6" s="3"/>
      <c r="F6" s="3"/>
      <c r="G6" s="3"/>
      <c r="H6" s="4" t="s">
        <v>18</v>
      </c>
      <c r="I6" s="4" t="s">
        <v>19</v>
      </c>
      <c r="J6" s="4" t="s">
        <v>20</v>
      </c>
      <c r="K6" s="4" t="s">
        <v>21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18</v>
      </c>
      <c r="X6" s="4" t="s">
        <v>19</v>
      </c>
      <c r="Y6" s="4" t="s">
        <v>20</v>
      </c>
      <c r="Z6" s="4" t="s">
        <v>21</v>
      </c>
      <c r="AA6" s="4" t="s">
        <v>22</v>
      </c>
      <c r="AB6" s="4" t="s">
        <v>23</v>
      </c>
      <c r="AC6" s="4" t="s">
        <v>24</v>
      </c>
      <c r="AD6" s="3"/>
      <c r="AE6" s="4" t="s">
        <v>18</v>
      </c>
      <c r="AF6" s="4" t="s">
        <v>19</v>
      </c>
      <c r="AG6" s="4" t="s">
        <v>20</v>
      </c>
      <c r="AH6" s="4" t="s">
        <v>21</v>
      </c>
      <c r="AI6" s="4" t="s">
        <v>22</v>
      </c>
      <c r="AJ6" s="4" t="s">
        <v>23</v>
      </c>
      <c r="AK6" s="4"/>
      <c r="AL6" s="4"/>
    </row>
    <row r="7" hidden="1" spans="1:38" x14ac:dyDescent="0.25">
      <c r="A7" s="6" t="s">
        <v>35</v>
      </c>
      <c r="B7" s="7" t="s">
        <v>34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x14ac:dyDescent="0.25">
      <c r="A8" s="8">
        <v>1</v>
      </c>
      <c r="B8" s="9" t="s">
        <v>36</v>
      </c>
      <c r="C8" s="10">
        <v>31535312</v>
      </c>
      <c r="D8" s="11">
        <v>270</v>
      </c>
      <c r="E8" s="11">
        <v>0</v>
      </c>
      <c r="F8" s="11">
        <v>0</v>
      </c>
      <c r="G8" s="11">
        <v>270</v>
      </c>
      <c r="H8" s="11">
        <v>67.5</v>
      </c>
      <c r="I8" s="11">
        <v>32</v>
      </c>
      <c r="J8" s="11">
        <v>0</v>
      </c>
      <c r="K8" s="11">
        <v>0</v>
      </c>
      <c r="L8" s="11">
        <v>0</v>
      </c>
      <c r="M8" s="11">
        <v>0</v>
      </c>
      <c r="N8" s="11">
        <v>60</v>
      </c>
      <c r="O8" s="11">
        <v>0</v>
      </c>
      <c r="P8" s="11">
        <v>160</v>
      </c>
      <c r="Q8" s="11">
        <f>SUM(H8,L8)</f>
      </c>
      <c r="R8" s="11">
        <f>SUM(I8,M8)</f>
      </c>
      <c r="S8" s="11">
        <f>SUM(J8,N8)</f>
      </c>
      <c r="T8" s="11">
        <f>SUM(K8,O8)</f>
      </c>
      <c r="U8" s="11">
        <f>SUM(P8)</f>
      </c>
      <c r="V8" s="11">
        <f>SUM(Q8,R8,S8,T8,U8)</f>
      </c>
      <c r="W8" s="11">
        <v>210</v>
      </c>
      <c r="X8" s="11">
        <v>20</v>
      </c>
      <c r="Y8" s="11">
        <v>160</v>
      </c>
      <c r="Z8" s="11">
        <v>0</v>
      </c>
      <c r="AA8" s="11">
        <v>67.5</v>
      </c>
      <c r="AB8" s="11">
        <f>SUM(W8,X8,Y8,Z8,AA8)</f>
      </c>
      <c r="AC8" s="11">
        <f>AB8</f>
      </c>
      <c r="AD8" s="10">
        <v>100000</v>
      </c>
      <c r="AE8" s="10">
        <f>ROUND(W8*AD8,0)</f>
      </c>
      <c r="AF8" s="10">
        <f>ROUND(X8*AD8,0)</f>
      </c>
      <c r="AG8" s="10">
        <f>ROUND(Y8*AD8,0)</f>
      </c>
      <c r="AH8" s="10">
        <f>ROUND(Z8*AD8,0)</f>
      </c>
      <c r="AI8" s="10">
        <f>ROUND(AA8*AD8,0)</f>
      </c>
      <c r="AJ8" s="10">
        <f>SUM(AE8,AF8,AG8,AH8,AI8)</f>
      </c>
      <c r="AK8" s="10">
        <f>IF(AC8&gt;0,ROUND(V8/AC8*AJ8,0),0)</f>
      </c>
      <c r="AL8" s="11" t="s">
        <v>32</v>
      </c>
    </row>
    <row r="9" spans="1:38" x14ac:dyDescent="0.25">
      <c r="A9" s="6" t="s">
        <v>25</v>
      </c>
      <c r="B9" s="13"/>
      <c r="C9" s="14"/>
      <c r="D9" s="15">
        <f>SUM(D$8:D$8)</f>
      </c>
      <c r="E9" s="15">
        <f>SUM(E$8:E$8)</f>
      </c>
      <c r="F9" s="15">
        <f>SUM(F$8:F$8)</f>
      </c>
      <c r="G9" s="15">
        <f>SUM(G$8:G$8)</f>
      </c>
      <c r="H9" s="15">
        <f>SUM(H$8:H$8)</f>
      </c>
      <c r="I9" s="15">
        <f>SUM(I$8:I$8)</f>
      </c>
      <c r="J9" s="15">
        <f>SUM(J$8:J$8)</f>
      </c>
      <c r="K9" s="15">
        <f>SUM(K$8:K$8)</f>
      </c>
      <c r="L9" s="15">
        <f>SUM(L$8:L$8)</f>
      </c>
      <c r="M9" s="15">
        <f>SUM(M$8:M$8)</f>
      </c>
      <c r="N9" s="15">
        <f>SUM(N$8:N$8)</f>
      </c>
      <c r="O9" s="15">
        <f>SUM(O$8:O$8)</f>
      </c>
      <c r="P9" s="15">
        <f>SUM(P$8:P$8)</f>
      </c>
      <c r="Q9" s="15">
        <f>SUM(Q$8:Q$8)</f>
      </c>
      <c r="R9" s="15">
        <f>SUM(R$8:R$8)</f>
      </c>
      <c r="S9" s="15">
        <f>SUM(S$8:S$8)</f>
      </c>
      <c r="T9" s="15">
        <f>SUM(T$8:T$8)</f>
      </c>
      <c r="U9" s="15">
        <f>SUM(U$8:U$8)</f>
      </c>
      <c r="V9" s="15">
        <f>SUM(V$8:V$8)</f>
      </c>
      <c r="W9" s="15">
        <f>SUM(W$8:W$8)</f>
      </c>
      <c r="X9" s="15">
        <f>SUM(X$8:X$8)</f>
      </c>
      <c r="Y9" s="15">
        <f>SUM(Y$8:Y$8)</f>
      </c>
      <c r="Z9" s="15">
        <f>SUM(Z$8:Z$8)</f>
      </c>
      <c r="AA9" s="15">
        <f>SUM(AA$8:AA$8)</f>
      </c>
      <c r="AB9" s="15">
        <f>SUM(AB$8:AB$8)</f>
      </c>
      <c r="AC9" s="15">
        <f>SUM(AC$8:AC$8)</f>
      </c>
      <c r="AD9" s="16">
        <f>SUM(AD$8:AD$8)</f>
      </c>
      <c r="AE9" s="16">
        <f>SUM(AE$8:AE$8)</f>
      </c>
      <c r="AF9" s="16">
        <f>SUM(AF$8:AF$8)</f>
      </c>
      <c r="AG9" s="16">
        <f>SUM(AG$8:AG$8)</f>
      </c>
      <c r="AH9" s="16">
        <f>SUM(AH$8:AH$8)</f>
      </c>
      <c r="AI9" s="16">
        <f>SUM(AI$8:AI$8)</f>
      </c>
      <c r="AJ9" s="16">
        <f>SUM(AJ$8:AJ$8)</f>
      </c>
      <c r="AK9" s="16">
        <f>SUM(AK$8:AK$8)</f>
      </c>
      <c r="AL9" s="17"/>
    </row>
    <row r="10" ht="18.75" customHeight="1" spans="1:38" x14ac:dyDescent="0.25">
      <c r="A10" s="19"/>
      <c r="B10" s="20" t="s">
        <v>27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</sheetData>
  <mergeCells count="20">
    <mergeCell ref="A1:AL1"/>
    <mergeCell ref="A2:AL2"/>
    <mergeCell ref="H4:V4"/>
    <mergeCell ref="W4:AC5"/>
    <mergeCell ref="AE4:AJ5"/>
    <mergeCell ref="A4:A6"/>
    <mergeCell ref="B4:B6"/>
    <mergeCell ref="C4:C6"/>
    <mergeCell ref="D4:D6"/>
    <mergeCell ref="E4:E6"/>
    <mergeCell ref="F4:F6"/>
    <mergeCell ref="G4:G6"/>
    <mergeCell ref="H5:K5"/>
    <mergeCell ref="L5:P5"/>
    <mergeCell ref="Q5:V5"/>
    <mergeCell ref="AD4:AD6"/>
    <mergeCell ref="AK4:AK6"/>
    <mergeCell ref="AL4:AL6"/>
    <mergeCell ref="B7:AL7"/>
    <mergeCell ref="B10:AL10"/>
  </mergeCells>
  <dataValidations count="208">
    <dataValidation sqref="A1"/>
    <dataValidation sqref="A10"/>
    <dataValidation sqref="A11"/>
    <dataValidation sqref="A12"/>
    <dataValidation sqref="A2"/>
    <dataValidation sqref="A4"/>
    <dataValidation sqref="A5"/>
    <dataValidation sqref="A6"/>
    <dataValidation sqref="A7"/>
    <dataValidation sqref="A8"/>
    <dataValidation sqref="A9"/>
    <dataValidation sqref="AA1"/>
    <dataValidation sqref="AA2"/>
    <dataValidation sqref="AA7"/>
    <dataValidation sqref="AA9"/>
    <dataValidation sqref="AB1"/>
    <dataValidation sqref="AB2"/>
    <dataValidation sqref="AB7"/>
    <dataValidation sqref="AB9"/>
    <dataValidation sqref="AC1"/>
    <dataValidation sqref="AC2"/>
    <dataValidation sqref="AC7"/>
    <dataValidation sqref="AC9"/>
    <dataValidation sqref="AD1"/>
    <dataValidation sqref="AD2"/>
    <dataValidation sqref="AD7"/>
    <dataValidation sqref="AD9"/>
    <dataValidation sqref="AE1"/>
    <dataValidation sqref="AE2"/>
    <dataValidation sqref="AE7"/>
    <dataValidation sqref="AE9"/>
    <dataValidation sqref="AF1"/>
    <dataValidation sqref="AF2"/>
    <dataValidation sqref="AF7"/>
    <dataValidation sqref="AF9"/>
    <dataValidation sqref="AG1"/>
    <dataValidation sqref="AG2"/>
    <dataValidation sqref="AG7"/>
    <dataValidation sqref="AG9"/>
    <dataValidation sqref="AH1"/>
    <dataValidation sqref="AH2"/>
    <dataValidation sqref="AH7"/>
    <dataValidation sqref="AH9"/>
    <dataValidation sqref="AI1"/>
    <dataValidation sqref="AI2"/>
    <dataValidation sqref="AI7"/>
    <dataValidation sqref="AI9"/>
    <dataValidation sqref="AJ1"/>
    <dataValidation sqref="AJ2"/>
    <dataValidation sqref="AJ7"/>
    <dataValidation sqref="AJ9"/>
    <dataValidation sqref="AK1"/>
    <dataValidation sqref="AK2"/>
    <dataValidation sqref="AK7"/>
    <dataValidation sqref="AK9"/>
    <dataValidation sqref="AL1"/>
    <dataValidation sqref="AL2"/>
    <dataValidation sqref="AL7"/>
    <dataValidation sqref="AL9"/>
    <dataValidation sqref="B1"/>
    <dataValidation sqref="B10"/>
    <dataValidation sqref="B11"/>
    <dataValidation sqref="B12"/>
    <dataValidation sqref="B2"/>
    <dataValidation sqref="B4"/>
    <dataValidation sqref="B5"/>
    <dataValidation sqref="B6"/>
    <dataValidation sqref="B7"/>
    <dataValidation sqref="B8"/>
    <dataValidation sqref="B9"/>
    <dataValidation sqref="C1"/>
    <dataValidation sqref="C10"/>
    <dataValidation sqref="C11"/>
    <dataValidation sqref="C12"/>
    <dataValidation sqref="C2"/>
    <dataValidation sqref="C4"/>
    <dataValidation sqref="C5"/>
    <dataValidation sqref="C6"/>
    <dataValidation sqref="C7"/>
    <dataValidation sqref="C8"/>
    <dataValidation sqref="C9"/>
    <dataValidation sqref="D1"/>
    <dataValidation sqref="D10"/>
    <dataValidation sqref="D11"/>
    <dataValidation sqref="D12"/>
    <dataValidation sqref="D2"/>
    <dataValidation sqref="D4"/>
    <dataValidation sqref="D5"/>
    <dataValidation sqref="D6"/>
    <dataValidation sqref="D7"/>
    <dataValidation sqref="D8"/>
    <dataValidation sqref="D9"/>
    <dataValidation sqref="E1"/>
    <dataValidation sqref="E10"/>
    <dataValidation sqref="E11"/>
    <dataValidation sqref="E12"/>
    <dataValidation sqref="E2"/>
    <dataValidation sqref="E4"/>
    <dataValidation sqref="E5"/>
    <dataValidation sqref="E6"/>
    <dataValidation sqref="E7"/>
    <dataValidation sqref="E8"/>
    <dataValidation sqref="E9"/>
    <dataValidation sqref="F1"/>
    <dataValidation sqref="F10"/>
    <dataValidation sqref="F11"/>
    <dataValidation sqref="F12"/>
    <dataValidation sqref="F2"/>
    <dataValidation sqref="F4"/>
    <dataValidation sqref="F5"/>
    <dataValidation sqref="F6"/>
    <dataValidation sqref="F7"/>
    <dataValidation sqref="F8"/>
    <dataValidation sqref="F9"/>
    <dataValidation sqref="G1"/>
    <dataValidation sqref="G10"/>
    <dataValidation sqref="G11"/>
    <dataValidation sqref="G12"/>
    <dataValidation sqref="G2"/>
    <dataValidation sqref="G4"/>
    <dataValidation sqref="G5"/>
    <dataValidation sqref="G6"/>
    <dataValidation sqref="G7"/>
    <dataValidation sqref="G8"/>
    <dataValidation sqref="G9"/>
    <dataValidation sqref="H1"/>
    <dataValidation sqref="H10"/>
    <dataValidation sqref="H11"/>
    <dataValidation sqref="H12"/>
    <dataValidation sqref="H2"/>
    <dataValidation sqref="H4"/>
    <dataValidation sqref="H5"/>
    <dataValidation sqref="H6"/>
    <dataValidation sqref="H7"/>
    <dataValidation sqref="H8"/>
    <dataValidation sqref="H9"/>
    <dataValidation sqref="I1"/>
    <dataValidation sqref="I2"/>
    <dataValidation sqref="I7"/>
    <dataValidation sqref="I9"/>
    <dataValidation sqref="J1"/>
    <dataValidation sqref="J2"/>
    <dataValidation sqref="J7"/>
    <dataValidation sqref="J9"/>
    <dataValidation sqref="K1"/>
    <dataValidation sqref="K2"/>
    <dataValidation sqref="K7"/>
    <dataValidation sqref="K9"/>
    <dataValidation sqref="L1"/>
    <dataValidation sqref="L2"/>
    <dataValidation sqref="L7"/>
    <dataValidation sqref="L9"/>
    <dataValidation sqref="M1"/>
    <dataValidation sqref="M2"/>
    <dataValidation sqref="M7"/>
    <dataValidation sqref="M9"/>
    <dataValidation sqref="N1"/>
    <dataValidation sqref="N2"/>
    <dataValidation sqref="N7"/>
    <dataValidation sqref="N9"/>
    <dataValidation sqref="O1"/>
    <dataValidation sqref="O2"/>
    <dataValidation sqref="O7"/>
    <dataValidation sqref="O9"/>
    <dataValidation sqref="P1"/>
    <dataValidation sqref="P2"/>
    <dataValidation sqref="P7"/>
    <dataValidation sqref="P9"/>
    <dataValidation sqref="Q1"/>
    <dataValidation sqref="Q2"/>
    <dataValidation sqref="Q7"/>
    <dataValidation sqref="Q9"/>
    <dataValidation sqref="R1"/>
    <dataValidation sqref="R2"/>
    <dataValidation sqref="R7"/>
    <dataValidation sqref="R9"/>
    <dataValidation sqref="S1"/>
    <dataValidation sqref="S2"/>
    <dataValidation sqref="S7"/>
    <dataValidation sqref="S9"/>
    <dataValidation sqref="T1"/>
    <dataValidation sqref="T2"/>
    <dataValidation sqref="T7"/>
    <dataValidation sqref="T9"/>
    <dataValidation sqref="U1"/>
    <dataValidation sqref="U2"/>
    <dataValidation sqref="U7"/>
    <dataValidation sqref="U9"/>
    <dataValidation sqref="V1"/>
    <dataValidation sqref="V2"/>
    <dataValidation sqref="V7"/>
    <dataValidation sqref="V9"/>
    <dataValidation sqref="W1"/>
    <dataValidation sqref="W2"/>
    <dataValidation sqref="W7"/>
    <dataValidation sqref="W9"/>
    <dataValidation sqref="X1"/>
    <dataValidation sqref="X2"/>
    <dataValidation sqref="X7"/>
    <dataValidation sqref="X9"/>
    <dataValidation sqref="Y1"/>
    <dataValidation sqref="Y2"/>
    <dataValidation sqref="Y7"/>
    <dataValidation sqref="Y9"/>
    <dataValidation sqref="Z1"/>
    <dataValidation sqref="Z2"/>
    <dataValidation sqref="Z7"/>
    <dataValidation sqref="Z9"/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OvertimeReport</vt:lpstr>
      <vt:lpstr>KHOA CNTT</vt:lpstr>
      <vt:lpstr>KHOA MẬT MÃ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2026-06-21T03:59:22Z</dcterms:created>
  <dcterms:modified xsi:type="dcterms:W3CDTF">2026-06-22T10:37:47Z</dcterms:modified>
</cp:coreProperties>
</file>